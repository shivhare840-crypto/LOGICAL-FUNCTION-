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0bdb05a211e337b/Desktop/"/>
    </mc:Choice>
  </mc:AlternateContent>
  <xr:revisionPtr revIDLastSave="4" documentId="11_67C1ECB895E2CA2B7D1D42E6419C417D99FC7ACC" xr6:coauthVersionLast="47" xr6:coauthVersionMax="47" xr10:uidLastSave="{5DBF70CE-B52F-4AD8-B413-3B6DA352DA52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2" l="1" a="1"/>
  <c r="E38" i="2" s="1"/>
  <c r="E30" i="2" a="1"/>
  <c r="E30" i="2" s="1"/>
  <c r="D24" i="2"/>
  <c r="D23" i="2"/>
  <c r="D22" i="2"/>
  <c r="B12" i="2"/>
  <c r="F40" i="1"/>
  <c r="C35" i="1"/>
  <c r="C34" i="1"/>
  <c r="C33" i="1"/>
  <c r="C32" i="1"/>
  <c r="C31" i="1"/>
  <c r="D24" i="1"/>
  <c r="D23" i="1"/>
  <c r="D22" i="1"/>
  <c r="D21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<sst xmlns="http://schemas.openxmlformats.org/spreadsheetml/2006/main" count="133" uniqueCount="88">
  <si>
    <t>LOGICAL FUNCTION&amp;LOOKUP ASSIGMENT</t>
  </si>
  <si>
    <t>Q 1. Write a formula to check if the marks in cell B2 are grather than or equal to 40.if yes,return "Pass",otherwise"Fail".</t>
  </si>
  <si>
    <t>student name</t>
  </si>
  <si>
    <t>marks</t>
  </si>
  <si>
    <t>Ans:</t>
  </si>
  <si>
    <t>Result table:</t>
  </si>
  <si>
    <t>Riya</t>
  </si>
  <si>
    <t>result</t>
  </si>
  <si>
    <t>Formula use:</t>
  </si>
  <si>
    <t>Siya</t>
  </si>
  <si>
    <t>=IF(E7&gt;=40,"Pass","Fail")</t>
  </si>
  <si>
    <t>Raju</t>
  </si>
  <si>
    <t>Rahul</t>
  </si>
  <si>
    <t>Ram</t>
  </si>
  <si>
    <t>Explanation:</t>
  </si>
  <si>
    <t>This formula checks whether he marks in cell E7 are greater than or equal to 40.</t>
  </si>
  <si>
    <t>1) If marks are 40 or more,it returns "PASS".</t>
  </si>
  <si>
    <t>2) If marks are less than 40,it returns"FAIL".</t>
  </si>
  <si>
    <t>Q 2.A company gives a bonus if sales are above 40,000 and attendence is greater than or equal to 90%.write a formula to calculate whether the employee will get a bonus or not.</t>
  </si>
  <si>
    <t>Result table</t>
  </si>
  <si>
    <t>Employee</t>
  </si>
  <si>
    <t>Sales</t>
  </si>
  <si>
    <t>Attendence</t>
  </si>
  <si>
    <t>Result</t>
  </si>
  <si>
    <t>Formula use</t>
  </si>
  <si>
    <t>Arjun</t>
  </si>
  <si>
    <t>=IF(AND(B21&gt;40000,C21&gt;=90),"Bonus","No Bonus")</t>
  </si>
  <si>
    <t>Simran</t>
  </si>
  <si>
    <t>Rohit</t>
  </si>
  <si>
    <t>Anjali</t>
  </si>
  <si>
    <t>Q 3. Write a neested IFformula:</t>
  </si>
  <si>
    <t>if marks in B2 are&gt;=90,"A",.=75,"B",&gt;=50,"C",otherwise"Fail".</t>
  </si>
  <si>
    <t>Student name</t>
  </si>
  <si>
    <t>Marks</t>
  </si>
  <si>
    <t>Grade</t>
  </si>
  <si>
    <t>Raj</t>
  </si>
  <si>
    <t>=IF(B31&gt;=90,"A",IF(B31&gt;=75,"B",IF(B31&gt;=50,"Fail")))</t>
  </si>
  <si>
    <t>Neha</t>
  </si>
  <si>
    <t>Vivek</t>
  </si>
  <si>
    <t>Rani</t>
  </si>
  <si>
    <t>Sneha</t>
  </si>
  <si>
    <t>Q 4.Find the department of employee ID=E103.Alsoexplain which lookup function used and why.</t>
  </si>
  <si>
    <t>Lookup result</t>
  </si>
  <si>
    <t>EmpID</t>
  </si>
  <si>
    <t>Name</t>
  </si>
  <si>
    <t>Department</t>
  </si>
  <si>
    <t>E101</t>
  </si>
  <si>
    <t>IT</t>
  </si>
  <si>
    <t>E103</t>
  </si>
  <si>
    <t>=VLOOKUP("E103",A40:C43,3,FALSE)</t>
  </si>
  <si>
    <t>E102</t>
  </si>
  <si>
    <t>HR</t>
  </si>
  <si>
    <t>Explation:</t>
  </si>
  <si>
    <t>Roshni</t>
  </si>
  <si>
    <t>Finance</t>
  </si>
  <si>
    <t>The VLOOKUP function is used to search data in the first column of a table and return the relative value from another column.</t>
  </si>
  <si>
    <t>E104</t>
  </si>
  <si>
    <t>Sejal</t>
  </si>
  <si>
    <t>It is used here because employee ID is in the first column and we need to find the department.</t>
  </si>
  <si>
    <t>Q 5.A company has set the following comission structure for its sales team:</t>
  </si>
  <si>
    <t>Sales amount</t>
  </si>
  <si>
    <t>Commission rate</t>
  </si>
  <si>
    <t>If a salesperson achieve sales of 45,000,use the VLOOKUP function to detrmine the commission rate applicable.</t>
  </si>
  <si>
    <t>Sales person result table:</t>
  </si>
  <si>
    <t>Sale amount</t>
  </si>
  <si>
    <t>commission amt</t>
  </si>
  <si>
    <t>=VLOOKUP(45000,A3:B6,2,true)</t>
  </si>
  <si>
    <t>Q 6.The HR department maintains the following leave records of employees or not.</t>
  </si>
  <si>
    <t>Write on IF function to check wether an employee has exceeded their allowed leave balance:</t>
  </si>
  <si>
    <t>1) If leaves taken&gt;allowed leaves,display "Exceeded".</t>
  </si>
  <si>
    <t>2) Otherwise,display "OK".</t>
  </si>
  <si>
    <t>Employee name</t>
  </si>
  <si>
    <t>Leaves taken</t>
  </si>
  <si>
    <t>Leaves allowed</t>
  </si>
  <si>
    <t>Status</t>
  </si>
  <si>
    <t>Alex</t>
  </si>
  <si>
    <t>=IF(B22&gt;C22,"Exceeded","OK")</t>
  </si>
  <si>
    <t>Bob</t>
  </si>
  <si>
    <t>Anna</t>
  </si>
  <si>
    <t>Q 7.Find the salary of EmpID=E105 using INDEX-MATCH function.</t>
  </si>
  <si>
    <t>Salary</t>
  </si>
  <si>
    <t>E105</t>
  </si>
  <si>
    <t>=INDEX(B29:B32,MATCH("E105",A29:A32,0))</t>
  </si>
  <si>
    <t>E106</t>
  </si>
  <si>
    <t>Q 8. Use the XLOOKUP function to find the department of the employee with EmpID=E303.</t>
  </si>
  <si>
    <t>E303</t>
  </si>
  <si>
    <t>=XLOOKUP("E303",A36:A40,B36:B40)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</si>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</sst>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7"/>
      <color rgb="FFFFFFFF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/>
    <xf numFmtId="0" fontId="4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0" borderId="0" xfId="0" applyFont="1"/>
    <xf numFmtId="9" fontId="4" fillId="8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/>
    <xf numFmtId="9" fontId="4" fillId="5" borderId="1" xfId="0" applyNumberFormat="1" applyFont="1" applyFill="1" applyBorder="1"/>
    <xf numFmtId="0" fontId="4" fillId="9" borderId="0" xfId="0" applyFont="1" applyFill="1"/>
    <xf numFmtId="0" fontId="4" fillId="0" borderId="1" xfId="0" applyFont="1" applyBorder="1"/>
    <xf numFmtId="0" fontId="3" fillId="8" borderId="1" xfId="0" applyFont="1" applyFill="1" applyBorder="1"/>
    <xf numFmtId="0" fontId="4" fillId="8" borderId="1" xfId="0" applyFont="1" applyFill="1" applyBorder="1"/>
    <xf numFmtId="0" fontId="4" fillId="10" borderId="0" xfId="0" applyFont="1" applyFill="1"/>
    <xf numFmtId="0" fontId="2" fillId="7" borderId="0" xfId="0" applyFont="1" applyFill="1"/>
    <xf numFmtId="0" fontId="0" fillId="0" borderId="0" xfId="0"/>
    <xf numFmtId="0" fontId="3" fillId="5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6" borderId="0" xfId="0" applyFont="1" applyFill="1"/>
    <xf numFmtId="0" fontId="3" fillId="3" borderId="0" xfId="0" applyFont="1" applyFill="1"/>
    <xf numFmtId="0" fontId="3" fillId="0" borderId="0" xfId="0" applyFont="1"/>
    <xf numFmtId="0" fontId="2" fillId="9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44"/>
  <sheetViews>
    <sheetView tabSelected="1" workbookViewId="0">
      <selection activeCell="H6" sqref="H6"/>
    </sheetView>
  </sheetViews>
  <sheetFormatPr defaultColWidth="12.6640625" defaultRowHeight="15.75" customHeight="1" x14ac:dyDescent="0.25"/>
  <cols>
    <col min="1" max="1" width="12" customWidth="1"/>
    <col min="2" max="2" width="10.109375" customWidth="1"/>
    <col min="7" max="7" width="20.109375" customWidth="1"/>
    <col min="8" max="8" width="56.88671875" customWidth="1"/>
  </cols>
  <sheetData>
    <row r="1" spans="1:8" ht="15.75" customHeight="1" x14ac:dyDescent="0.4">
      <c r="A1" s="24" t="s">
        <v>0</v>
      </c>
      <c r="B1" s="22"/>
      <c r="C1" s="22"/>
      <c r="D1" s="22"/>
      <c r="E1" s="22"/>
      <c r="F1" s="22"/>
      <c r="G1" s="22"/>
      <c r="H1" s="22"/>
    </row>
    <row r="3" spans="1:8" x14ac:dyDescent="0.25">
      <c r="A3" s="25" t="s">
        <v>1</v>
      </c>
      <c r="B3" s="22"/>
      <c r="C3" s="22"/>
      <c r="D3" s="22"/>
      <c r="E3" s="22"/>
      <c r="F3" s="22"/>
      <c r="G3" s="22"/>
      <c r="H3" s="22"/>
    </row>
    <row r="5" spans="1:8" x14ac:dyDescent="0.25">
      <c r="A5" s="1" t="s">
        <v>2</v>
      </c>
      <c r="B5" s="1" t="s">
        <v>3</v>
      </c>
      <c r="C5" s="2" t="s">
        <v>4</v>
      </c>
      <c r="D5" s="2" t="s">
        <v>5</v>
      </c>
    </row>
    <row r="6" spans="1:8" x14ac:dyDescent="0.25">
      <c r="A6" s="3" t="s">
        <v>6</v>
      </c>
      <c r="B6" s="3">
        <v>45</v>
      </c>
      <c r="D6" s="4" t="s">
        <v>2</v>
      </c>
      <c r="E6" s="4" t="s">
        <v>3</v>
      </c>
      <c r="F6" s="4" t="s">
        <v>7</v>
      </c>
      <c r="G6" s="2" t="s">
        <v>8</v>
      </c>
    </row>
    <row r="7" spans="1:8" x14ac:dyDescent="0.25">
      <c r="A7" s="3" t="s">
        <v>9</v>
      </c>
      <c r="B7" s="3">
        <v>72</v>
      </c>
      <c r="D7" s="5" t="s">
        <v>6</v>
      </c>
      <c r="E7" s="5">
        <v>45</v>
      </c>
      <c r="F7" s="5" t="str">
        <f t="shared" ref="F7:F11" si="0">IF(E7&gt;=40,"Pass","Fail")</f>
        <v>Pass</v>
      </c>
      <c r="G7" s="6" t="s">
        <v>10</v>
      </c>
    </row>
    <row r="8" spans="1:8" x14ac:dyDescent="0.25">
      <c r="A8" s="3" t="s">
        <v>11</v>
      </c>
      <c r="B8" s="3">
        <v>55</v>
      </c>
      <c r="D8" s="5" t="s">
        <v>9</v>
      </c>
      <c r="E8" s="5">
        <v>72</v>
      </c>
      <c r="F8" s="5" t="str">
        <f t="shared" si="0"/>
        <v>Pass</v>
      </c>
    </row>
    <row r="9" spans="1:8" x14ac:dyDescent="0.25">
      <c r="A9" s="3" t="s">
        <v>12</v>
      </c>
      <c r="B9" s="3">
        <v>80</v>
      </c>
      <c r="D9" s="5" t="s">
        <v>11</v>
      </c>
      <c r="E9" s="5">
        <v>55</v>
      </c>
      <c r="F9" s="5" t="str">
        <f t="shared" si="0"/>
        <v>Pass</v>
      </c>
    </row>
    <row r="10" spans="1:8" x14ac:dyDescent="0.25">
      <c r="A10" s="3" t="s">
        <v>13</v>
      </c>
      <c r="B10" s="3">
        <v>30</v>
      </c>
      <c r="D10" s="5" t="s">
        <v>12</v>
      </c>
      <c r="E10" s="5">
        <v>80</v>
      </c>
      <c r="F10" s="5" t="str">
        <f t="shared" si="0"/>
        <v>Pass</v>
      </c>
    </row>
    <row r="11" spans="1:8" x14ac:dyDescent="0.25">
      <c r="D11" s="5" t="s">
        <v>13</v>
      </c>
      <c r="E11" s="5">
        <v>30</v>
      </c>
      <c r="F11" s="5" t="str">
        <f t="shared" si="0"/>
        <v>Fail</v>
      </c>
    </row>
    <row r="12" spans="1:8" x14ac:dyDescent="0.25">
      <c r="A12" s="2" t="s">
        <v>14</v>
      </c>
    </row>
    <row r="13" spans="1:8" x14ac:dyDescent="0.25">
      <c r="A13" s="26" t="s">
        <v>15</v>
      </c>
      <c r="B13" s="22"/>
      <c r="C13" s="22"/>
      <c r="D13" s="22"/>
      <c r="E13" s="22"/>
      <c r="F13" s="22"/>
    </row>
    <row r="14" spans="1:8" x14ac:dyDescent="0.25">
      <c r="A14" s="26" t="s">
        <v>16</v>
      </c>
      <c r="B14" s="22"/>
      <c r="C14" s="22"/>
      <c r="D14" s="22"/>
    </row>
    <row r="15" spans="1:8" x14ac:dyDescent="0.25">
      <c r="A15" s="26" t="s">
        <v>17</v>
      </c>
      <c r="B15" s="22"/>
      <c r="C15" s="22"/>
      <c r="D15" s="22"/>
    </row>
    <row r="17" spans="1:12" x14ac:dyDescent="0.25">
      <c r="A17" s="25" t="s">
        <v>18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9" spans="1:12" x14ac:dyDescent="0.25">
      <c r="A19" s="2" t="s">
        <v>4</v>
      </c>
      <c r="B19" s="2" t="s">
        <v>19</v>
      </c>
    </row>
    <row r="20" spans="1:12" x14ac:dyDescent="0.25">
      <c r="A20" s="4" t="s">
        <v>20</v>
      </c>
      <c r="B20" s="4" t="s">
        <v>21</v>
      </c>
      <c r="C20" s="4" t="s">
        <v>22</v>
      </c>
      <c r="D20" s="4" t="s">
        <v>23</v>
      </c>
      <c r="E20" s="2" t="s">
        <v>24</v>
      </c>
    </row>
    <row r="21" spans="1:12" x14ac:dyDescent="0.25">
      <c r="A21" s="5" t="s">
        <v>25</v>
      </c>
      <c r="B21" s="5">
        <v>55000</v>
      </c>
      <c r="C21" s="5">
        <v>95</v>
      </c>
      <c r="D21" s="5" t="str">
        <f t="shared" ref="D21:D24" si="1">IF(AND(B21&gt;40000,C21&gt;=90),"Bonus","No Bonus")</f>
        <v>Bonus</v>
      </c>
      <c r="E21" s="6" t="s">
        <v>26</v>
      </c>
      <c r="F21" s="6"/>
      <c r="G21" s="6"/>
    </row>
    <row r="22" spans="1:12" x14ac:dyDescent="0.25">
      <c r="A22" s="5" t="s">
        <v>27</v>
      </c>
      <c r="B22" s="5">
        <v>65000</v>
      </c>
      <c r="C22" s="5">
        <v>85</v>
      </c>
      <c r="D22" s="5" t="str">
        <f t="shared" si="1"/>
        <v>No Bonus</v>
      </c>
    </row>
    <row r="23" spans="1:12" x14ac:dyDescent="0.25">
      <c r="A23" s="5" t="s">
        <v>28</v>
      </c>
      <c r="B23" s="5">
        <v>30000</v>
      </c>
      <c r="C23" s="5">
        <v>90</v>
      </c>
      <c r="D23" s="5" t="str">
        <f t="shared" si="1"/>
        <v>No Bonus</v>
      </c>
    </row>
    <row r="24" spans="1:12" x14ac:dyDescent="0.25">
      <c r="A24" s="5" t="s">
        <v>29</v>
      </c>
      <c r="B24" s="5">
        <v>25000</v>
      </c>
      <c r="C24" s="5">
        <v>65</v>
      </c>
      <c r="D24" s="5" t="str">
        <f t="shared" si="1"/>
        <v>No Bonus</v>
      </c>
    </row>
    <row r="25" spans="1:12" x14ac:dyDescent="0.25">
      <c r="A25" s="7"/>
      <c r="B25" s="7"/>
      <c r="C25" s="7"/>
      <c r="D25" s="7"/>
    </row>
    <row r="26" spans="1:12" x14ac:dyDescent="0.25">
      <c r="A26" s="21" t="s">
        <v>30</v>
      </c>
      <c r="B26" s="22"/>
      <c r="C26" s="22"/>
      <c r="D26" s="22"/>
    </row>
    <row r="27" spans="1:12" ht="13.8" x14ac:dyDescent="0.25">
      <c r="A27" s="21" t="s">
        <v>31</v>
      </c>
      <c r="B27" s="22"/>
      <c r="C27" s="22"/>
      <c r="D27" s="22"/>
      <c r="E27" s="22"/>
    </row>
    <row r="29" spans="1:12" ht="13.2" x14ac:dyDescent="0.25">
      <c r="A29" s="2" t="s">
        <v>4</v>
      </c>
      <c r="B29" s="2" t="s">
        <v>19</v>
      </c>
    </row>
    <row r="30" spans="1:12" ht="13.2" x14ac:dyDescent="0.25">
      <c r="A30" s="4" t="s">
        <v>32</v>
      </c>
      <c r="B30" s="4" t="s">
        <v>33</v>
      </c>
      <c r="C30" s="4" t="s">
        <v>34</v>
      </c>
      <c r="D30" s="2" t="s">
        <v>24</v>
      </c>
    </row>
    <row r="31" spans="1:12" ht="13.2" x14ac:dyDescent="0.25">
      <c r="A31" s="5" t="s">
        <v>35</v>
      </c>
      <c r="B31" s="5">
        <v>85</v>
      </c>
      <c r="C31" s="5" t="str">
        <f t="shared" ref="C31:C35" si="2">IF(B31&gt;=90,"A",IF(B31&gt;=75,"B",IF(B31&gt;=50,"Fail")))</f>
        <v>B</v>
      </c>
      <c r="D31" s="6" t="s">
        <v>36</v>
      </c>
      <c r="E31" s="6"/>
      <c r="F31" s="6"/>
      <c r="G31" s="6"/>
    </row>
    <row r="32" spans="1:12" ht="13.2" x14ac:dyDescent="0.25">
      <c r="A32" s="5" t="s">
        <v>37</v>
      </c>
      <c r="B32" s="5">
        <v>96</v>
      </c>
      <c r="C32" s="5" t="str">
        <f t="shared" si="2"/>
        <v>A</v>
      </c>
    </row>
    <row r="33" spans="1:8" ht="13.2" x14ac:dyDescent="0.25">
      <c r="A33" s="5" t="s">
        <v>38</v>
      </c>
      <c r="B33" s="5">
        <v>57</v>
      </c>
      <c r="C33" s="5" t="str">
        <f t="shared" si="2"/>
        <v>Fail</v>
      </c>
    </row>
    <row r="34" spans="1:8" ht="13.2" x14ac:dyDescent="0.25">
      <c r="A34" s="5" t="s">
        <v>39</v>
      </c>
      <c r="B34" s="5">
        <v>92</v>
      </c>
      <c r="C34" s="5" t="str">
        <f t="shared" si="2"/>
        <v>A</v>
      </c>
    </row>
    <row r="35" spans="1:8" ht="13.2" x14ac:dyDescent="0.25">
      <c r="A35" s="5" t="s">
        <v>40</v>
      </c>
      <c r="B35" s="5">
        <v>75</v>
      </c>
      <c r="C35" s="5" t="str">
        <f t="shared" si="2"/>
        <v>B</v>
      </c>
    </row>
    <row r="37" spans="1:8" ht="13.8" x14ac:dyDescent="0.25">
      <c r="A37" s="21" t="s">
        <v>41</v>
      </c>
      <c r="B37" s="22"/>
      <c r="C37" s="22"/>
      <c r="D37" s="22"/>
      <c r="E37" s="22"/>
      <c r="F37" s="22"/>
      <c r="G37" s="22"/>
    </row>
    <row r="38" spans="1:8" ht="13.2" x14ac:dyDescent="0.25">
      <c r="D38" s="2" t="s">
        <v>4</v>
      </c>
      <c r="E38" s="2" t="s">
        <v>42</v>
      </c>
    </row>
    <row r="39" spans="1:8" ht="13.2" x14ac:dyDescent="0.25">
      <c r="A39" s="8" t="s">
        <v>43</v>
      </c>
      <c r="B39" s="8" t="s">
        <v>44</v>
      </c>
      <c r="C39" s="8" t="s">
        <v>45</v>
      </c>
      <c r="E39" s="9" t="s">
        <v>43</v>
      </c>
      <c r="F39" s="9" t="s">
        <v>45</v>
      </c>
      <c r="G39" s="2" t="s">
        <v>24</v>
      </c>
    </row>
    <row r="40" spans="1:8" ht="13.2" x14ac:dyDescent="0.25">
      <c r="A40" s="10" t="s">
        <v>46</v>
      </c>
      <c r="B40" s="10" t="s">
        <v>11</v>
      </c>
      <c r="C40" s="10" t="s">
        <v>47</v>
      </c>
      <c r="E40" s="11" t="s">
        <v>48</v>
      </c>
      <c r="F40" s="11" t="str">
        <f>VLOOKUP("E103",A40:C43,3,FALSE)</f>
        <v>Finance</v>
      </c>
      <c r="G40" s="6" t="s">
        <v>49</v>
      </c>
      <c r="H40" s="6"/>
    </row>
    <row r="41" spans="1:8" ht="13.2" x14ac:dyDescent="0.25">
      <c r="A41" s="10" t="s">
        <v>50</v>
      </c>
      <c r="B41" s="10" t="s">
        <v>6</v>
      </c>
      <c r="C41" s="10" t="s">
        <v>51</v>
      </c>
      <c r="D41" s="2" t="s">
        <v>52</v>
      </c>
    </row>
    <row r="42" spans="1:8" ht="13.2" x14ac:dyDescent="0.25">
      <c r="A42" s="10" t="s">
        <v>48</v>
      </c>
      <c r="B42" s="10" t="s">
        <v>53</v>
      </c>
      <c r="C42" s="10" t="s">
        <v>54</v>
      </c>
      <c r="E42" s="23" t="s">
        <v>55</v>
      </c>
      <c r="F42" s="22"/>
      <c r="G42" s="22"/>
      <c r="H42" s="22"/>
    </row>
    <row r="43" spans="1:8" ht="13.2" x14ac:dyDescent="0.25">
      <c r="A43" s="10" t="s">
        <v>56</v>
      </c>
      <c r="B43" s="10" t="s">
        <v>57</v>
      </c>
      <c r="C43" s="10" t="s">
        <v>21</v>
      </c>
      <c r="E43" s="23" t="s">
        <v>58</v>
      </c>
      <c r="F43" s="22"/>
      <c r="G43" s="22"/>
      <c r="H43" s="22"/>
    </row>
    <row r="44" spans="1:8" ht="13.2" x14ac:dyDescent="0.25">
      <c r="E44" s="12"/>
      <c r="F44" s="12"/>
      <c r="G44" s="12"/>
      <c r="H44" s="12"/>
    </row>
  </sheetData>
  <mergeCells count="11">
    <mergeCell ref="A27:E27"/>
    <mergeCell ref="A37:G37"/>
    <mergeCell ref="E42:H42"/>
    <mergeCell ref="E43:H43"/>
    <mergeCell ref="A1:H1"/>
    <mergeCell ref="A3:H3"/>
    <mergeCell ref="A13:F13"/>
    <mergeCell ref="A14:D14"/>
    <mergeCell ref="A15:D15"/>
    <mergeCell ref="A17:L17"/>
    <mergeCell ref="A26:D26"/>
  </mergeCells>
  <pageMargins left="0.7" right="0.7" top="0.75" bottom="0.75" header="0.3" footer="0.3"/>
  <pageSetup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40"/>
  <sheetViews>
    <sheetView workbookViewId="0">
      <selection sqref="A1:E1"/>
    </sheetView>
  </sheetViews>
  <sheetFormatPr defaultColWidth="12.6640625" defaultRowHeight="15.75" customHeight="1" x14ac:dyDescent="0.25"/>
  <cols>
    <col min="2" max="2" width="13.77734375" customWidth="1"/>
    <col min="5" max="5" width="21.21875" customWidth="1"/>
  </cols>
  <sheetData>
    <row r="1" spans="1:9" x14ac:dyDescent="0.25">
      <c r="A1" s="21" t="s">
        <v>59</v>
      </c>
      <c r="B1" s="22"/>
      <c r="C1" s="22"/>
      <c r="D1" s="22"/>
      <c r="E1" s="22"/>
    </row>
    <row r="2" spans="1:9" x14ac:dyDescent="0.25">
      <c r="A2" s="8" t="s">
        <v>60</v>
      </c>
      <c r="B2" s="8" t="s">
        <v>61</v>
      </c>
    </row>
    <row r="3" spans="1:9" x14ac:dyDescent="0.25">
      <c r="A3" s="10">
        <v>0</v>
      </c>
      <c r="B3" s="13">
        <v>0.05</v>
      </c>
    </row>
    <row r="4" spans="1:9" x14ac:dyDescent="0.25">
      <c r="A4" s="10">
        <v>20000</v>
      </c>
      <c r="B4" s="13">
        <v>0.1</v>
      </c>
    </row>
    <row r="5" spans="1:9" x14ac:dyDescent="0.25">
      <c r="A5" s="10">
        <v>50000</v>
      </c>
      <c r="B5" s="13">
        <v>0.15</v>
      </c>
    </row>
    <row r="6" spans="1:9" x14ac:dyDescent="0.25">
      <c r="A6" s="10">
        <v>80000</v>
      </c>
      <c r="B6" s="13">
        <v>0.2</v>
      </c>
    </row>
    <row r="8" spans="1:9" x14ac:dyDescent="0.25">
      <c r="A8" s="27" t="s">
        <v>62</v>
      </c>
      <c r="B8" s="22"/>
      <c r="C8" s="22"/>
      <c r="D8" s="22"/>
      <c r="E8" s="22"/>
      <c r="F8" s="22"/>
      <c r="G8" s="22"/>
      <c r="H8" s="22"/>
      <c r="I8" s="22"/>
    </row>
    <row r="10" spans="1:9" x14ac:dyDescent="0.25">
      <c r="A10" s="2" t="s">
        <v>4</v>
      </c>
      <c r="B10" s="28" t="s">
        <v>63</v>
      </c>
      <c r="C10" s="22"/>
    </row>
    <row r="11" spans="1:9" x14ac:dyDescent="0.25">
      <c r="A11" s="9" t="s">
        <v>64</v>
      </c>
      <c r="B11" s="9" t="s">
        <v>65</v>
      </c>
      <c r="C11" s="2" t="s">
        <v>24</v>
      </c>
    </row>
    <row r="12" spans="1:9" x14ac:dyDescent="0.25">
      <c r="A12" s="14">
        <v>45000</v>
      </c>
      <c r="B12" s="15">
        <f>VLOOKUP(45000,A3:B6,2,TRUE)</f>
        <v>0.1</v>
      </c>
      <c r="C12" s="6" t="s">
        <v>66</v>
      </c>
      <c r="D12" s="6"/>
    </row>
    <row r="14" spans="1:9" x14ac:dyDescent="0.25">
      <c r="A14" s="25" t="s">
        <v>67</v>
      </c>
      <c r="B14" s="22"/>
      <c r="C14" s="22"/>
      <c r="D14" s="22"/>
      <c r="E14" s="22"/>
    </row>
    <row r="16" spans="1:9" x14ac:dyDescent="0.25">
      <c r="A16" s="29" t="s">
        <v>68</v>
      </c>
      <c r="B16" s="22"/>
      <c r="C16" s="22"/>
      <c r="D16" s="22"/>
      <c r="E16" s="22"/>
      <c r="F16" s="22"/>
      <c r="G16" s="22"/>
      <c r="H16" s="22"/>
    </row>
    <row r="17" spans="1:8" x14ac:dyDescent="0.25">
      <c r="A17" s="30" t="s">
        <v>69</v>
      </c>
      <c r="B17" s="22"/>
      <c r="C17" s="22"/>
      <c r="D17" s="22"/>
    </row>
    <row r="18" spans="1:8" x14ac:dyDescent="0.25">
      <c r="A18" s="30" t="s">
        <v>70</v>
      </c>
      <c r="B18" s="22"/>
      <c r="C18" s="16"/>
      <c r="D18" s="16"/>
      <c r="F18" s="2"/>
    </row>
    <row r="20" spans="1:8" x14ac:dyDescent="0.25">
      <c r="A20" s="2" t="s">
        <v>4</v>
      </c>
      <c r="E20" s="2" t="s">
        <v>8</v>
      </c>
    </row>
    <row r="21" spans="1:8" x14ac:dyDescent="0.25">
      <c r="A21" s="9" t="s">
        <v>71</v>
      </c>
      <c r="B21" s="9" t="s">
        <v>72</v>
      </c>
      <c r="C21" s="9" t="s">
        <v>73</v>
      </c>
      <c r="D21" s="9" t="s">
        <v>74</v>
      </c>
    </row>
    <row r="22" spans="1:8" x14ac:dyDescent="0.25">
      <c r="A22" s="11" t="s">
        <v>75</v>
      </c>
      <c r="B22" s="11">
        <v>10</v>
      </c>
      <c r="C22" s="11">
        <v>12</v>
      </c>
      <c r="D22" s="11" t="str">
        <f t="shared" ref="D22:D24" si="0">IF(B22&gt;C22,"Exceeded","OK")</f>
        <v>OK</v>
      </c>
      <c r="E22" s="6" t="s">
        <v>76</v>
      </c>
      <c r="F22" s="6"/>
    </row>
    <row r="23" spans="1:8" x14ac:dyDescent="0.25">
      <c r="A23" s="11" t="s">
        <v>77</v>
      </c>
      <c r="B23" s="11">
        <v>10</v>
      </c>
      <c r="C23" s="11">
        <v>15</v>
      </c>
      <c r="D23" s="11" t="str">
        <f t="shared" si="0"/>
        <v>OK</v>
      </c>
    </row>
    <row r="24" spans="1:8" x14ac:dyDescent="0.25">
      <c r="A24" s="11" t="s">
        <v>78</v>
      </c>
      <c r="B24" s="11">
        <v>8</v>
      </c>
      <c r="C24" s="11">
        <v>12</v>
      </c>
      <c r="D24" s="11" t="str">
        <f t="shared" si="0"/>
        <v>OK</v>
      </c>
    </row>
    <row r="25" spans="1:8" x14ac:dyDescent="0.25">
      <c r="D25" s="17"/>
    </row>
    <row r="26" spans="1:8" x14ac:dyDescent="0.25">
      <c r="A26" s="21" t="s">
        <v>79</v>
      </c>
      <c r="B26" s="22"/>
      <c r="C26" s="22"/>
      <c r="D26" s="22"/>
      <c r="E26" s="22"/>
    </row>
    <row r="28" spans="1:8" x14ac:dyDescent="0.25">
      <c r="A28" s="18" t="s">
        <v>43</v>
      </c>
      <c r="B28" s="18" t="s">
        <v>80</v>
      </c>
      <c r="C28" s="2" t="s">
        <v>4</v>
      </c>
      <c r="D28" s="2" t="s">
        <v>5</v>
      </c>
      <c r="F28" s="2" t="s">
        <v>8</v>
      </c>
    </row>
    <row r="29" spans="1:8" x14ac:dyDescent="0.25">
      <c r="A29" s="19" t="s">
        <v>56</v>
      </c>
      <c r="B29" s="19">
        <v>55000</v>
      </c>
      <c r="D29" s="9" t="s">
        <v>43</v>
      </c>
      <c r="E29" s="9" t="s">
        <v>80</v>
      </c>
    </row>
    <row r="30" spans="1:8" x14ac:dyDescent="0.25">
      <c r="A30" s="19" t="s">
        <v>81</v>
      </c>
      <c r="B30" s="19">
        <v>72000</v>
      </c>
      <c r="D30" s="11" t="s">
        <v>81</v>
      </c>
      <c r="E30" s="11">
        <f t="array" ref="E30">INDEX(B29:B32,MATCH("E105",A29:A32,0))</f>
        <v>72000</v>
      </c>
      <c r="F30" s="20" t="s">
        <v>82</v>
      </c>
      <c r="G30" s="20"/>
      <c r="H30" s="20"/>
    </row>
    <row r="31" spans="1:8" x14ac:dyDescent="0.25">
      <c r="A31" s="19" t="s">
        <v>83</v>
      </c>
      <c r="B31" s="19">
        <v>62000</v>
      </c>
    </row>
    <row r="32" spans="1:8" x14ac:dyDescent="0.25">
      <c r="A32" s="19" t="s">
        <v>50</v>
      </c>
      <c r="B32" s="19">
        <v>41000</v>
      </c>
    </row>
    <row r="34" spans="1:6" x14ac:dyDescent="0.25">
      <c r="A34" s="21" t="s">
        <v>84</v>
      </c>
      <c r="B34" s="22"/>
      <c r="C34" s="22"/>
      <c r="D34" s="22"/>
      <c r="E34" s="22"/>
      <c r="F34" s="22"/>
    </row>
    <row r="36" spans="1:6" x14ac:dyDescent="0.25">
      <c r="A36" s="8" t="s">
        <v>43</v>
      </c>
      <c r="B36" s="8" t="s">
        <v>80</v>
      </c>
      <c r="C36" s="2" t="s">
        <v>4</v>
      </c>
      <c r="D36" s="2" t="s">
        <v>5</v>
      </c>
    </row>
    <row r="37" spans="1:6" x14ac:dyDescent="0.25">
      <c r="A37" s="10" t="s">
        <v>46</v>
      </c>
      <c r="B37" s="10" t="s">
        <v>51</v>
      </c>
      <c r="D37" s="4" t="s">
        <v>43</v>
      </c>
      <c r="E37" s="4" t="s">
        <v>45</v>
      </c>
    </row>
    <row r="38" spans="1:6" x14ac:dyDescent="0.25">
      <c r="A38" s="10" t="s">
        <v>85</v>
      </c>
      <c r="B38" s="10" t="s">
        <v>47</v>
      </c>
      <c r="D38" s="5" t="s">
        <v>85</v>
      </c>
      <c r="E38" s="5" t="e">
        <f t="array" aca="1" ref="E38" ca="1">_xludf.XLOOKUP("E303",A36:A40,B36:B40)</f>
        <v>#NAME?</v>
      </c>
      <c r="F38" s="12" t="s">
        <v>86</v>
      </c>
    </row>
    <row r="39" spans="1:6" x14ac:dyDescent="0.25">
      <c r="A39" s="10" t="s">
        <v>83</v>
      </c>
      <c r="B39" s="10" t="s">
        <v>21</v>
      </c>
    </row>
    <row r="40" spans="1:6" x14ac:dyDescent="0.25">
      <c r="A40" s="10" t="s">
        <v>87</v>
      </c>
      <c r="B40" s="10" t="s">
        <v>54</v>
      </c>
    </row>
  </sheetData>
  <mergeCells count="9">
    <mergeCell ref="A26:E26"/>
    <mergeCell ref="A34:F34"/>
    <mergeCell ref="A1:E1"/>
    <mergeCell ref="A8:I8"/>
    <mergeCell ref="B10:C10"/>
    <mergeCell ref="A14:E14"/>
    <mergeCell ref="A16:H16"/>
    <mergeCell ref="A17:D17"/>
    <mergeCell ref="A18:B18"/>
  </mergeCells>
  <pageMargins left="0.7" right="0.7" top="0.75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shivhare</cp:lastModifiedBy>
  <cp:lastPrinted>2026-02-10T09:44:21Z</cp:lastPrinted>
  <dcterms:modified xsi:type="dcterms:W3CDTF">2026-02-10T09:46:35Z</dcterms:modified>
</cp:coreProperties>
</file>